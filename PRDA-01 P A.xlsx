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Real Projects\"/>
    </mc:Choice>
  </mc:AlternateContent>
  <xr:revisionPtr revIDLastSave="0" documentId="13_ncr:1_{AE3E57CE-1B6F-460A-A0B4-7B2CCE2C9483}" xr6:coauthVersionLast="47" xr6:coauthVersionMax="47" xr10:uidLastSave="{00000000-0000-0000-0000-000000000000}"/>
  <bookViews>
    <workbookView xWindow="-108" yWindow="-108" windowWidth="23256" windowHeight="12576" activeTab="2" xr2:uid="{E7FBEAC9-7E43-45D4-8ED4-A5A80E417EAA}"/>
  </bookViews>
  <sheets>
    <sheet name="Table" sheetId="2" r:id="rId1"/>
    <sheet name="Summary Output" sheetId="3" r:id="rId2"/>
    <sheet name="Calculations" sheetId="4" r:id="rId3"/>
    <sheet name="PRDA - 01" sheetId="1" r:id="rId4"/>
  </sheets>
  <definedNames>
    <definedName name="ExternalData_1" localSheetId="0" hidden="1">Table!$A$1:$E$51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4" l="1"/>
  <c r="H6" i="4"/>
  <c r="D13" i="4"/>
  <c r="D1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584C0D-DCF3-4513-8FCE-E2CA5E62197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<sst xmlns="http://schemas.openxmlformats.org/spreadsheetml/2006/main" count="142" uniqueCount="91">
  <si>
    <t>RD_Spend;"Administration";"Marketing_Spend";"State";"Profit"</t>
  </si>
  <si>
    <t>165349.2;136897.8;471784.1;"New York";192261.83</t>
  </si>
  <si>
    <t>162597.7;151377.59;443898.53;"California";191792.06</t>
  </si>
  <si>
    <t>153441.51;101145.55;407934.54;"Florida";191050.39</t>
  </si>
  <si>
    <t>144372.41;118671.85;383199.62;"New York";182901.99</t>
  </si>
  <si>
    <t>142107.34;91391.77;366168.42;"Florida";166187.94</t>
  </si>
  <si>
    <t>131876.9;99814.71;362861.36;"New York";156991.12</t>
  </si>
  <si>
    <t>134615.46;147198.87;127716.82;"California";156122.51</t>
  </si>
  <si>
    <t>130298.13;145530.06;323876.68;"Florida";155752.6</t>
  </si>
  <si>
    <t>120542.52;148718.95;311613.29;"New York";152211.77</t>
  </si>
  <si>
    <t>123334.88;108679.17;304981.62;"California";149759.96</t>
  </si>
  <si>
    <t>101913.08;110594.11;229160.95;"Florida";146121.95</t>
  </si>
  <si>
    <t>100671.96;91790.61;249744.55;"California";144259.4</t>
  </si>
  <si>
    <t>93863.75;127320.38;249839.44;"Florida";141585.52</t>
  </si>
  <si>
    <t>91992.39;135495.07;252664.93;"California";134307.35</t>
  </si>
  <si>
    <t>119943.24;156547.42;256512.92;"Florida";132602.65</t>
  </si>
  <si>
    <t>114523.61;122616.84;261776.23;"New York";129917.04</t>
  </si>
  <si>
    <t>78013.11;121597.55;264346.06;"California";126992.93</t>
  </si>
  <si>
    <t>94657.16;145077.58;282574.31;"New York";125370.37</t>
  </si>
  <si>
    <t>91749.16;114175.79;294919.57;"Florida";124266.9</t>
  </si>
  <si>
    <t>86419.7;153514.11;0.0;"New York";122776.86</t>
  </si>
  <si>
    <t>76253.86;113867.3;298664.47;"California";118474.03</t>
  </si>
  <si>
    <t>78389.47;153773.43;299737.29;"New York";111313.02</t>
  </si>
  <si>
    <t>73994.56;122782.75;303319.26;"Florida";110352.25</t>
  </si>
  <si>
    <t>67532.53;105751.03;304768.73;"Florida";108733.99</t>
  </si>
  <si>
    <t>77044.01;99281.34;140574.81;"New York";108552.04</t>
  </si>
  <si>
    <t>64664.71;139553.16;137962.62;"California";107404.34</t>
  </si>
  <si>
    <t>75328.87;144135.98;134050.07;"Florida";105733.54</t>
  </si>
  <si>
    <t>72107.6;127864.55;353183.81;"New York";105008.31</t>
  </si>
  <si>
    <t>66051.52;182645.56;118148.2;"Florida";103282.38</t>
  </si>
  <si>
    <t>65605.48;153032.06;107138.38;"New York";101004.64</t>
  </si>
  <si>
    <t>61994.48;115641.28;91131.24;"Florida";99937.59</t>
  </si>
  <si>
    <t>61136.38;152701.92;88218.23;"New York";97483.56</t>
  </si>
  <si>
    <t>63408.86;129219.61;46085.25;"California";97427.84</t>
  </si>
  <si>
    <t>55493.95;103057.49;214634.81;"Florida";96778.92</t>
  </si>
  <si>
    <t>46426.07;157693.92;210797.67;"California";96712.8</t>
  </si>
  <si>
    <t>46014.02;85047.44;205517.64;"New York";96479.51</t>
  </si>
  <si>
    <t>28663.76;127056.21;201126.82;"Florida";90708.19</t>
  </si>
  <si>
    <t>44069.95;51283.14;197029.42;"California";89949.14</t>
  </si>
  <si>
    <t>20229.59;65947.93;185265.1;"New York";81229.06</t>
  </si>
  <si>
    <t>38558.51;82982.09;174999.3;"California";81005.76</t>
  </si>
  <si>
    <t>28754.33;118546.05;172795.67;"California";78239.91</t>
  </si>
  <si>
    <t>27892.92;84710.77;164470.71;"Florida";77798.83</t>
  </si>
  <si>
    <t>23640.93;96189.63;148001.11;"California";71498.49</t>
  </si>
  <si>
    <t>15505.73;127382.3;35534.17;"New York";69758.98</t>
  </si>
  <si>
    <t>22177.74;154806.14;28334.72;"California";65200.33</t>
  </si>
  <si>
    <t>1000.23;124153.04;1903.93;"New York";64926.08</t>
  </si>
  <si>
    <t>1315.46;115816.21;297114.46;"Florida";49490.75</t>
  </si>
  <si>
    <t>0.0;135426.92;0.0;"California";42559.73</t>
  </si>
  <si>
    <t>542.05;51743.15;0.0;"New York";35673.41</t>
  </si>
  <si>
    <t>0.0;116983.8;45173.06;"California";14681.4</t>
  </si>
  <si>
    <t>Column1</t>
  </si>
  <si>
    <t>RD_Spend</t>
  </si>
  <si>
    <t>Administration</t>
  </si>
  <si>
    <t>Marketing_Spend</t>
  </si>
  <si>
    <t>State</t>
  </si>
  <si>
    <t>Profit</t>
  </si>
  <si>
    <t>New York</t>
  </si>
  <si>
    <t>California</t>
  </si>
  <si>
    <t>Florida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</si>
  <si>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</si>
  <si>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</si>
  <si>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</si>
  <si>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</si>
  <si>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</si>
  <si>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</si>
  <si>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</si>
  <si>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</si>
  <si>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</si>
  <si>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</si>
  <si>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</si>
  <si>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</si>
  <si>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</si>
  <si>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</si>
  <si>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</si>
  <si>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</si>
  <si>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</si>
  <si>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</si>
  <si>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</si>
  <si>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</si>
  <si>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</si>
  <si>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</si>
  <si>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</si>
  <si>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</si>
  <si>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Regression Formula:</t>
  </si>
  <si>
    <t>Profit= Intercept + (R&amp;D × coeff) + (Admin × coeff) + (Marketing × coeff)</t>
  </si>
  <si>
    <t xml:space="preserve">R&amp;D Spend  </t>
  </si>
  <si>
    <t xml:space="preserve">Marketing Spend </t>
  </si>
  <si>
    <t>P1=</t>
  </si>
  <si>
    <t>P2=</t>
  </si>
  <si>
    <t>Similar Values from table: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</si>
</sst>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7" xfId="0" applyFont="1" applyBorder="1"/>
    <xf numFmtId="0" fontId="2" fillId="0" borderId="4" xfId="0" applyFont="1" applyBorder="1"/>
    <xf numFmtId="0" fontId="0" fillId="0" borderId="8" xfId="0" applyBorder="1"/>
    <xf numFmtId="0" fontId="0" fillId="0" borderId="9" xfId="0" applyBorder="1"/>
    <xf numFmtId="0" fontId="0" fillId="0" borderId="8" xfId="0" applyBorder="1" applyAlignment="1">
      <alignment wrapText="1"/>
    </xf>
    <xf numFmtId="0" fontId="3" fillId="0" borderId="10" xfId="0" applyFont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2" fillId="0" borderId="13" xfId="0" applyFont="1" applyBorder="1"/>
    <xf numFmtId="0" fontId="0" fillId="0" borderId="7" xfId="0" applyBorder="1"/>
    <xf numFmtId="0" fontId="0" fillId="0" borderId="0" xfId="0" applyBorder="1"/>
    <xf numFmtId="0" fontId="1" fillId="0" borderId="14" xfId="0" applyFont="1" applyBorder="1" applyAlignment="1">
      <alignment horizontal="centerContinuous"/>
    </xf>
    <xf numFmtId="0" fontId="1" fillId="0" borderId="14" xfId="0" applyFont="1" applyBorder="1" applyAlignment="1">
      <alignment horizontal="center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6446B51-4E0B-4C02-9F0F-334996E96B34}" autoFormatId="16" applyNumberFormats="0" applyBorderFormats="0" applyFontFormats="0" applyPatternFormats="0" applyAlignmentFormats="0" applyWidthHeightFormats="0">
  <queryTableRefresh nextId="6">
    <queryTableFields count="5">
      <queryTableField id="1" name="RD_Spend" tableColumnId="1"/>
      <queryTableField id="2" name="Administration" tableColumnId="2"/>
      <queryTableField id="3" name="Marketing_Spend" tableColumnId="3"/>
      <queryTableField id="4" name="State" tableColumnId="4"/>
      <queryTableField id="5" name="Profi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397DA0-22B7-4E3C-B5A3-6FB2A54B2B54}" name="Table1_1" displayName="Table1_1" ref="A1:E51" tableType="queryTable" totalsRowShown="0">
  <autoFilter ref="A1:E51" xr:uid="{90397DA0-22B7-4E3C-B5A3-6FB2A54B2B54}"/>
  <tableColumns count="5">
    <tableColumn id="1" xr3:uid="{0D81F39C-C393-4518-AC9F-2F4A5008D963}" uniqueName="1" name="RD_Spend" queryTableFieldId="1"/>
    <tableColumn id="2" xr3:uid="{1F2A169C-CDCA-40E2-8FEF-8D8B7E1B9115}" uniqueName="2" name="Administration" queryTableFieldId="2"/>
    <tableColumn id="3" xr3:uid="{619542D9-228B-4357-86A3-7156660A2EBB}" uniqueName="3" name="Marketing_Spend" queryTableFieldId="3"/>
    <tableColumn id="4" xr3:uid="{CD41E5CA-C22B-4B3F-88C2-D2E32C62530F}" uniqueName="4" name="State" queryTableFieldId="4" dataDxfId="0"/>
    <tableColumn id="5" xr3:uid="{67403E9C-639B-40F5-A663-2E2671F9922E}" uniqueName="5" name="Profit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1A4616-834B-4E59-9121-46E10F186151}" name="Table1" displayName="Table1" ref="A1:A52" totalsRowShown="0">
  <autoFilter ref="A1:A52" xr:uid="{BC1A4616-834B-4E59-9121-46E10F186151}"/>
  <tableColumns count="1">
    <tableColumn id="1" xr3:uid="{415CC0A2-78B9-4CA6-BC95-E5247EB35704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12617-F7B7-4CA4-9DAF-83AE137DEC1F}">
  <dimension ref="A1:E51"/>
  <sheetViews>
    <sheetView workbookViewId="0">
      <selection activeCell="L11" sqref="L11"/>
    </sheetView>
  </sheetViews>
  <sheetFormatPr defaultRowHeight="14.4" x14ac:dyDescent="0.3"/>
  <cols>
    <col min="1" max="1" width="11.88671875" bestFit="1" customWidth="1"/>
    <col min="2" max="2" width="15.77734375" bestFit="1" customWidth="1"/>
    <col min="3" max="3" width="18.33203125" bestFit="1" customWidth="1"/>
    <col min="5" max="5" width="10" bestFit="1" customWidth="1"/>
  </cols>
  <sheetData>
    <row r="1" spans="1:5" x14ac:dyDescent="0.3">
      <c r="A1" t="s">
        <v>52</v>
      </c>
      <c r="B1" t="s">
        <v>53</v>
      </c>
      <c r="C1" t="s">
        <v>54</v>
      </c>
      <c r="D1" t="s">
        <v>55</v>
      </c>
      <c r="E1" t="s">
        <v>56</v>
      </c>
    </row>
    <row r="2" spans="1:5" x14ac:dyDescent="0.3">
      <c r="A2">
        <v>165349.20000000001</v>
      </c>
      <c r="B2">
        <v>136897.79999999999</v>
      </c>
      <c r="C2">
        <v>471784.1</v>
      </c>
      <c r="D2" t="s">
        <v>57</v>
      </c>
      <c r="E2">
        <v>192261.83</v>
      </c>
    </row>
    <row r="3" spans="1:5" x14ac:dyDescent="0.3">
      <c r="A3">
        <v>162597.70000000001</v>
      </c>
      <c r="B3">
        <v>151377.59</v>
      </c>
      <c r="C3">
        <v>443898.53</v>
      </c>
      <c r="D3" t="s">
        <v>58</v>
      </c>
      <c r="E3">
        <v>191792.06</v>
      </c>
    </row>
    <row r="4" spans="1:5" x14ac:dyDescent="0.3">
      <c r="A4">
        <v>153441.51</v>
      </c>
      <c r="B4">
        <v>101145.55</v>
      </c>
      <c r="C4">
        <v>407934.54</v>
      </c>
      <c r="D4" t="s">
        <v>59</v>
      </c>
      <c r="E4">
        <v>191050.39</v>
      </c>
    </row>
    <row r="5" spans="1:5" x14ac:dyDescent="0.3">
      <c r="A5">
        <v>144372.41</v>
      </c>
      <c r="B5">
        <v>118671.85</v>
      </c>
      <c r="C5">
        <v>383199.62</v>
      </c>
      <c r="D5" t="s">
        <v>57</v>
      </c>
      <c r="E5">
        <v>182901.99</v>
      </c>
    </row>
    <row r="6" spans="1:5" x14ac:dyDescent="0.3">
      <c r="A6">
        <v>142107.34</v>
      </c>
      <c r="B6">
        <v>91391.77</v>
      </c>
      <c r="C6">
        <v>366168.42</v>
      </c>
      <c r="D6" t="s">
        <v>59</v>
      </c>
      <c r="E6">
        <v>166187.94</v>
      </c>
    </row>
    <row r="7" spans="1:5" x14ac:dyDescent="0.3">
      <c r="A7">
        <v>131876.9</v>
      </c>
      <c r="B7">
        <v>99814.71</v>
      </c>
      <c r="C7">
        <v>362861.36</v>
      </c>
      <c r="D7" t="s">
        <v>57</v>
      </c>
      <c r="E7">
        <v>156991.12</v>
      </c>
    </row>
    <row r="8" spans="1:5" x14ac:dyDescent="0.3">
      <c r="A8">
        <v>134615.46</v>
      </c>
      <c r="B8">
        <v>147198.87</v>
      </c>
      <c r="C8">
        <v>127716.82</v>
      </c>
      <c r="D8" t="s">
        <v>58</v>
      </c>
      <c r="E8">
        <v>156122.51</v>
      </c>
    </row>
    <row r="9" spans="1:5" x14ac:dyDescent="0.3">
      <c r="A9">
        <v>130298.13</v>
      </c>
      <c r="B9">
        <v>145530.06</v>
      </c>
      <c r="C9">
        <v>323876.68</v>
      </c>
      <c r="D9" t="s">
        <v>59</v>
      </c>
      <c r="E9">
        <v>155752.6</v>
      </c>
    </row>
    <row r="10" spans="1:5" x14ac:dyDescent="0.3">
      <c r="A10">
        <v>120542.52</v>
      </c>
      <c r="B10">
        <v>148718.95000000001</v>
      </c>
      <c r="C10">
        <v>311613.28999999998</v>
      </c>
      <c r="D10" t="s">
        <v>57</v>
      </c>
      <c r="E10">
        <v>152211.76999999999</v>
      </c>
    </row>
    <row r="11" spans="1:5" x14ac:dyDescent="0.3">
      <c r="A11">
        <v>123334.88</v>
      </c>
      <c r="B11">
        <v>108679.17</v>
      </c>
      <c r="C11">
        <v>304981.62</v>
      </c>
      <c r="D11" t="s">
        <v>58</v>
      </c>
      <c r="E11">
        <v>149759.96</v>
      </c>
    </row>
    <row r="12" spans="1:5" x14ac:dyDescent="0.3">
      <c r="A12">
        <v>101913.08</v>
      </c>
      <c r="B12">
        <v>110594.11</v>
      </c>
      <c r="C12">
        <v>229160.95</v>
      </c>
      <c r="D12" t="s">
        <v>59</v>
      </c>
      <c r="E12">
        <v>146121.95000000001</v>
      </c>
    </row>
    <row r="13" spans="1:5" x14ac:dyDescent="0.3">
      <c r="A13">
        <v>100671.96</v>
      </c>
      <c r="B13">
        <v>91790.61</v>
      </c>
      <c r="C13">
        <v>249744.55</v>
      </c>
      <c r="D13" t="s">
        <v>58</v>
      </c>
      <c r="E13">
        <v>144259.4</v>
      </c>
    </row>
    <row r="14" spans="1:5" x14ac:dyDescent="0.3">
      <c r="A14">
        <v>93863.75</v>
      </c>
      <c r="B14">
        <v>127320.38</v>
      </c>
      <c r="C14">
        <v>249839.44</v>
      </c>
      <c r="D14" t="s">
        <v>59</v>
      </c>
      <c r="E14">
        <v>141585.51999999999</v>
      </c>
    </row>
    <row r="15" spans="1:5" x14ac:dyDescent="0.3">
      <c r="A15">
        <v>91992.39</v>
      </c>
      <c r="B15">
        <v>135495.07</v>
      </c>
      <c r="C15">
        <v>252664.93</v>
      </c>
      <c r="D15" t="s">
        <v>58</v>
      </c>
      <c r="E15">
        <v>134307.35</v>
      </c>
    </row>
    <row r="16" spans="1:5" x14ac:dyDescent="0.3">
      <c r="A16">
        <v>119943.24</v>
      </c>
      <c r="B16">
        <v>156547.42000000001</v>
      </c>
      <c r="C16">
        <v>256512.92</v>
      </c>
      <c r="D16" t="s">
        <v>59</v>
      </c>
      <c r="E16">
        <v>132602.65</v>
      </c>
    </row>
    <row r="17" spans="1:5" x14ac:dyDescent="0.3">
      <c r="A17">
        <v>114523.61</v>
      </c>
      <c r="B17">
        <v>122616.84</v>
      </c>
      <c r="C17">
        <v>261776.23</v>
      </c>
      <c r="D17" t="s">
        <v>57</v>
      </c>
      <c r="E17">
        <v>129917.04</v>
      </c>
    </row>
    <row r="18" spans="1:5" x14ac:dyDescent="0.3">
      <c r="A18">
        <v>78013.11</v>
      </c>
      <c r="B18">
        <v>121597.55</v>
      </c>
      <c r="C18">
        <v>264346.06</v>
      </c>
      <c r="D18" t="s">
        <v>58</v>
      </c>
      <c r="E18">
        <v>126992.93</v>
      </c>
    </row>
    <row r="19" spans="1:5" x14ac:dyDescent="0.3">
      <c r="A19">
        <v>94657.16</v>
      </c>
      <c r="B19">
        <v>145077.57999999999</v>
      </c>
      <c r="C19">
        <v>282574.31</v>
      </c>
      <c r="D19" t="s">
        <v>57</v>
      </c>
      <c r="E19">
        <v>125370.37</v>
      </c>
    </row>
    <row r="20" spans="1:5" x14ac:dyDescent="0.3">
      <c r="A20">
        <v>91749.16</v>
      </c>
      <c r="B20">
        <v>114175.79</v>
      </c>
      <c r="C20">
        <v>294919.57</v>
      </c>
      <c r="D20" t="s">
        <v>59</v>
      </c>
      <c r="E20">
        <v>124266.9</v>
      </c>
    </row>
    <row r="21" spans="1:5" x14ac:dyDescent="0.3">
      <c r="A21">
        <v>86419.7</v>
      </c>
      <c r="B21">
        <v>153514.10999999999</v>
      </c>
      <c r="C21">
        <v>0</v>
      </c>
      <c r="D21" t="s">
        <v>57</v>
      </c>
      <c r="E21">
        <v>122776.86</v>
      </c>
    </row>
    <row r="22" spans="1:5" x14ac:dyDescent="0.3">
      <c r="A22">
        <v>76253.86</v>
      </c>
      <c r="B22">
        <v>113867.3</v>
      </c>
      <c r="C22">
        <v>298664.46999999997</v>
      </c>
      <c r="D22" t="s">
        <v>58</v>
      </c>
      <c r="E22">
        <v>118474.03</v>
      </c>
    </row>
    <row r="23" spans="1:5" x14ac:dyDescent="0.3">
      <c r="A23">
        <v>78389.47</v>
      </c>
      <c r="B23">
        <v>153773.43</v>
      </c>
      <c r="C23">
        <v>299737.28999999998</v>
      </c>
      <c r="D23" t="s">
        <v>57</v>
      </c>
      <c r="E23">
        <v>111313.02</v>
      </c>
    </row>
    <row r="24" spans="1:5" x14ac:dyDescent="0.3">
      <c r="A24">
        <v>73994.559999999998</v>
      </c>
      <c r="B24">
        <v>122782.75</v>
      </c>
      <c r="C24">
        <v>303319.26</v>
      </c>
      <c r="D24" t="s">
        <v>59</v>
      </c>
      <c r="E24">
        <v>110352.25</v>
      </c>
    </row>
    <row r="25" spans="1:5" x14ac:dyDescent="0.3">
      <c r="A25">
        <v>67532.53</v>
      </c>
      <c r="B25">
        <v>105751.03</v>
      </c>
      <c r="C25">
        <v>304768.73</v>
      </c>
      <c r="D25" t="s">
        <v>59</v>
      </c>
      <c r="E25">
        <v>108733.99</v>
      </c>
    </row>
    <row r="26" spans="1:5" x14ac:dyDescent="0.3">
      <c r="A26">
        <v>77044.009999999995</v>
      </c>
      <c r="B26">
        <v>99281.34</v>
      </c>
      <c r="C26">
        <v>140574.81</v>
      </c>
      <c r="D26" t="s">
        <v>57</v>
      </c>
      <c r="E26">
        <v>108552.04</v>
      </c>
    </row>
    <row r="27" spans="1:5" x14ac:dyDescent="0.3">
      <c r="A27">
        <v>64664.71</v>
      </c>
      <c r="B27">
        <v>139553.16</v>
      </c>
      <c r="C27">
        <v>137962.62</v>
      </c>
      <c r="D27" t="s">
        <v>58</v>
      </c>
      <c r="E27">
        <v>107404.34</v>
      </c>
    </row>
    <row r="28" spans="1:5" x14ac:dyDescent="0.3">
      <c r="A28">
        <v>75328.87</v>
      </c>
      <c r="B28">
        <v>144135.98000000001</v>
      </c>
      <c r="C28">
        <v>134050.07</v>
      </c>
      <c r="D28" t="s">
        <v>59</v>
      </c>
      <c r="E28">
        <v>105733.54</v>
      </c>
    </row>
    <row r="29" spans="1:5" x14ac:dyDescent="0.3">
      <c r="A29">
        <v>72107.600000000006</v>
      </c>
      <c r="B29">
        <v>127864.55</v>
      </c>
      <c r="C29">
        <v>353183.81</v>
      </c>
      <c r="D29" t="s">
        <v>57</v>
      </c>
      <c r="E29">
        <v>105008.31</v>
      </c>
    </row>
    <row r="30" spans="1:5" x14ac:dyDescent="0.3">
      <c r="A30">
        <v>66051.520000000004</v>
      </c>
      <c r="B30">
        <v>182645.56</v>
      </c>
      <c r="C30">
        <v>118148.2</v>
      </c>
      <c r="D30" t="s">
        <v>59</v>
      </c>
      <c r="E30">
        <v>103282.38</v>
      </c>
    </row>
    <row r="31" spans="1:5" x14ac:dyDescent="0.3">
      <c r="A31">
        <v>65605.48</v>
      </c>
      <c r="B31">
        <v>153032.06</v>
      </c>
      <c r="C31">
        <v>107138.38</v>
      </c>
      <c r="D31" t="s">
        <v>57</v>
      </c>
      <c r="E31">
        <v>101004.64</v>
      </c>
    </row>
    <row r="32" spans="1:5" x14ac:dyDescent="0.3">
      <c r="A32">
        <v>61994.48</v>
      </c>
      <c r="B32">
        <v>115641.28</v>
      </c>
      <c r="C32">
        <v>91131.24</v>
      </c>
      <c r="D32" t="s">
        <v>59</v>
      </c>
      <c r="E32">
        <v>99937.59</v>
      </c>
    </row>
    <row r="33" spans="1:5" x14ac:dyDescent="0.3">
      <c r="A33">
        <v>61136.38</v>
      </c>
      <c r="B33">
        <v>152701.92000000001</v>
      </c>
      <c r="C33">
        <v>88218.23</v>
      </c>
      <c r="D33" t="s">
        <v>57</v>
      </c>
      <c r="E33">
        <v>97483.56</v>
      </c>
    </row>
    <row r="34" spans="1:5" x14ac:dyDescent="0.3">
      <c r="A34">
        <v>63408.86</v>
      </c>
      <c r="B34">
        <v>129219.61</v>
      </c>
      <c r="C34">
        <v>46085.25</v>
      </c>
      <c r="D34" t="s">
        <v>58</v>
      </c>
      <c r="E34">
        <v>97427.839999999997</v>
      </c>
    </row>
    <row r="35" spans="1:5" x14ac:dyDescent="0.3">
      <c r="A35">
        <v>55493.95</v>
      </c>
      <c r="B35">
        <v>103057.49</v>
      </c>
      <c r="C35">
        <v>214634.81</v>
      </c>
      <c r="D35" t="s">
        <v>59</v>
      </c>
      <c r="E35">
        <v>96778.92</v>
      </c>
    </row>
    <row r="36" spans="1:5" x14ac:dyDescent="0.3">
      <c r="A36">
        <v>46426.07</v>
      </c>
      <c r="B36">
        <v>157693.92000000001</v>
      </c>
      <c r="C36">
        <v>210797.67</v>
      </c>
      <c r="D36" t="s">
        <v>58</v>
      </c>
      <c r="E36">
        <v>96712.8</v>
      </c>
    </row>
    <row r="37" spans="1:5" x14ac:dyDescent="0.3">
      <c r="A37">
        <v>46014.02</v>
      </c>
      <c r="B37">
        <v>85047.44</v>
      </c>
      <c r="C37">
        <v>205517.64</v>
      </c>
      <c r="D37" t="s">
        <v>57</v>
      </c>
      <c r="E37">
        <v>96479.51</v>
      </c>
    </row>
    <row r="38" spans="1:5" x14ac:dyDescent="0.3">
      <c r="A38">
        <v>28663.759999999998</v>
      </c>
      <c r="B38">
        <v>127056.21</v>
      </c>
      <c r="C38">
        <v>201126.82</v>
      </c>
      <c r="D38" t="s">
        <v>59</v>
      </c>
      <c r="E38">
        <v>90708.19</v>
      </c>
    </row>
    <row r="39" spans="1:5" x14ac:dyDescent="0.3">
      <c r="A39">
        <v>44069.95</v>
      </c>
      <c r="B39">
        <v>51283.14</v>
      </c>
      <c r="C39">
        <v>197029.42</v>
      </c>
      <c r="D39" t="s">
        <v>58</v>
      </c>
      <c r="E39">
        <v>89949.14</v>
      </c>
    </row>
    <row r="40" spans="1:5" x14ac:dyDescent="0.3">
      <c r="A40">
        <v>20229.59</v>
      </c>
      <c r="B40">
        <v>65947.929999999993</v>
      </c>
      <c r="C40">
        <v>185265.1</v>
      </c>
      <c r="D40" t="s">
        <v>57</v>
      </c>
      <c r="E40">
        <v>81229.06</v>
      </c>
    </row>
    <row r="41" spans="1:5" x14ac:dyDescent="0.3">
      <c r="A41">
        <v>38558.51</v>
      </c>
      <c r="B41">
        <v>82982.09</v>
      </c>
      <c r="C41">
        <v>174999.3</v>
      </c>
      <c r="D41" t="s">
        <v>58</v>
      </c>
      <c r="E41">
        <v>81005.759999999995</v>
      </c>
    </row>
    <row r="42" spans="1:5" x14ac:dyDescent="0.3">
      <c r="A42">
        <v>28754.33</v>
      </c>
      <c r="B42">
        <v>118546.05</v>
      </c>
      <c r="C42">
        <v>172795.67</v>
      </c>
      <c r="D42" t="s">
        <v>58</v>
      </c>
      <c r="E42">
        <v>78239.91</v>
      </c>
    </row>
    <row r="43" spans="1:5" x14ac:dyDescent="0.3">
      <c r="A43">
        <v>27892.92</v>
      </c>
      <c r="B43">
        <v>84710.77</v>
      </c>
      <c r="C43">
        <v>164470.71</v>
      </c>
      <c r="D43" t="s">
        <v>59</v>
      </c>
      <c r="E43">
        <v>77798.83</v>
      </c>
    </row>
    <row r="44" spans="1:5" x14ac:dyDescent="0.3">
      <c r="A44">
        <v>23640.93</v>
      </c>
      <c r="B44">
        <v>96189.63</v>
      </c>
      <c r="C44">
        <v>148001.10999999999</v>
      </c>
      <c r="D44" t="s">
        <v>58</v>
      </c>
      <c r="E44">
        <v>71498.490000000005</v>
      </c>
    </row>
    <row r="45" spans="1:5" x14ac:dyDescent="0.3">
      <c r="A45">
        <v>15505.73</v>
      </c>
      <c r="B45">
        <v>127382.3</v>
      </c>
      <c r="C45">
        <v>35534.17</v>
      </c>
      <c r="D45" t="s">
        <v>57</v>
      </c>
      <c r="E45">
        <v>69758.98</v>
      </c>
    </row>
    <row r="46" spans="1:5" x14ac:dyDescent="0.3">
      <c r="A46">
        <v>22177.74</v>
      </c>
      <c r="B46">
        <v>154806.14000000001</v>
      </c>
      <c r="C46">
        <v>28334.720000000001</v>
      </c>
      <c r="D46" t="s">
        <v>58</v>
      </c>
      <c r="E46">
        <v>65200.33</v>
      </c>
    </row>
    <row r="47" spans="1:5" x14ac:dyDescent="0.3">
      <c r="A47">
        <v>1000.23</v>
      </c>
      <c r="B47">
        <v>124153.04</v>
      </c>
      <c r="C47">
        <v>1903.93</v>
      </c>
      <c r="D47" t="s">
        <v>57</v>
      </c>
      <c r="E47">
        <v>64926.080000000002</v>
      </c>
    </row>
    <row r="48" spans="1:5" x14ac:dyDescent="0.3">
      <c r="A48">
        <v>1315.46</v>
      </c>
      <c r="B48">
        <v>115816.21</v>
      </c>
      <c r="C48">
        <v>297114.46000000002</v>
      </c>
      <c r="D48" t="s">
        <v>59</v>
      </c>
      <c r="E48">
        <v>49490.75</v>
      </c>
    </row>
    <row r="49" spans="1:5" x14ac:dyDescent="0.3">
      <c r="A49">
        <v>0</v>
      </c>
      <c r="B49">
        <v>135426.92000000001</v>
      </c>
      <c r="C49">
        <v>0</v>
      </c>
      <c r="D49" t="s">
        <v>58</v>
      </c>
      <c r="E49">
        <v>42559.73</v>
      </c>
    </row>
    <row r="50" spans="1:5" x14ac:dyDescent="0.3">
      <c r="A50">
        <v>542.04999999999995</v>
      </c>
      <c r="B50">
        <v>51743.15</v>
      </c>
      <c r="C50">
        <v>0</v>
      </c>
      <c r="D50" t="s">
        <v>57</v>
      </c>
      <c r="E50">
        <v>35673.410000000003</v>
      </c>
    </row>
    <row r="51" spans="1:5" x14ac:dyDescent="0.3">
      <c r="A51">
        <v>0</v>
      </c>
      <c r="B51">
        <v>116983.8</v>
      </c>
      <c r="C51">
        <v>45173.06</v>
      </c>
      <c r="D51" t="s">
        <v>58</v>
      </c>
      <c r="E51">
        <v>14681.4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E4728-111D-4C05-8211-0E4DA670BB42}">
  <dimension ref="A1:J21"/>
  <sheetViews>
    <sheetView zoomScale="108" workbookViewId="0">
      <selection activeCell="L1" sqref="L1"/>
    </sheetView>
  </sheetViews>
  <sheetFormatPr defaultRowHeight="14.4" x14ac:dyDescent="0.3"/>
  <cols>
    <col min="1" max="1" width="17.44140625" bestFit="1" customWidth="1"/>
    <col min="2" max="2" width="12.6640625" bestFit="1" customWidth="1"/>
    <col min="3" max="3" width="13.44140625" bestFit="1" customWidth="1"/>
    <col min="4" max="4" width="12.6640625" bestFit="1" customWidth="1"/>
    <col min="5" max="5" width="12" bestFit="1" customWidth="1"/>
    <col min="6" max="6" width="12.6640625" bestFit="1" customWidth="1"/>
    <col min="7" max="7" width="12" bestFit="1" customWidth="1"/>
    <col min="8" max="8" width="12.6640625" bestFit="1" customWidth="1"/>
    <col min="9" max="9" width="12.109375" bestFit="1" customWidth="1"/>
  </cols>
  <sheetData>
    <row r="1" spans="1:10" x14ac:dyDescent="0.3">
      <c r="A1" s="4" t="s">
        <v>60</v>
      </c>
      <c r="B1" s="17"/>
      <c r="C1" s="17"/>
      <c r="D1" s="17"/>
      <c r="E1" s="17"/>
      <c r="F1" s="17"/>
      <c r="G1" s="17"/>
      <c r="H1" s="17"/>
      <c r="I1" s="17"/>
      <c r="J1" s="5"/>
    </row>
    <row r="2" spans="1:10" ht="15" thickBot="1" x14ac:dyDescent="0.35">
      <c r="A2" s="10"/>
      <c r="B2" s="18"/>
      <c r="C2" s="18"/>
      <c r="D2" s="18"/>
      <c r="E2" s="18"/>
      <c r="F2" s="18"/>
      <c r="G2" s="18"/>
      <c r="H2" s="18"/>
      <c r="I2" s="18"/>
      <c r="J2" s="11"/>
    </row>
    <row r="3" spans="1:10" x14ac:dyDescent="0.3">
      <c r="A3" s="19" t="s">
        <v>61</v>
      </c>
      <c r="B3" s="3"/>
      <c r="C3" s="18"/>
      <c r="D3" s="18"/>
      <c r="E3" s="18"/>
      <c r="F3" s="18"/>
      <c r="G3" s="18"/>
      <c r="H3" s="18"/>
      <c r="I3" s="18"/>
      <c r="J3" s="11"/>
    </row>
    <row r="4" spans="1:10" x14ac:dyDescent="0.3">
      <c r="A4" s="10" t="s">
        <v>62</v>
      </c>
      <c r="B4" s="18">
        <v>0.97278738703994139</v>
      </c>
      <c r="C4" s="18"/>
      <c r="D4" s="18"/>
      <c r="E4" s="18"/>
      <c r="F4" s="18"/>
      <c r="G4" s="18"/>
      <c r="H4" s="18"/>
      <c r="I4" s="18"/>
      <c r="J4" s="11"/>
    </row>
    <row r="5" spans="1:10" x14ac:dyDescent="0.3">
      <c r="A5" s="10" t="s">
        <v>63</v>
      </c>
      <c r="B5" s="18">
        <v>0.94631530038399669</v>
      </c>
      <c r="C5" s="18"/>
      <c r="D5" s="18"/>
      <c r="E5" s="18"/>
      <c r="F5" s="18"/>
      <c r="G5" s="18"/>
      <c r="H5" s="18"/>
      <c r="I5" s="18"/>
      <c r="J5" s="11"/>
    </row>
    <row r="6" spans="1:10" x14ac:dyDescent="0.3">
      <c r="A6" s="10" t="s">
        <v>64</v>
      </c>
      <c r="B6" s="18">
        <v>0.94273632040959654</v>
      </c>
      <c r="C6" s="18"/>
      <c r="D6" s="18"/>
      <c r="E6" s="18"/>
      <c r="F6" s="18"/>
      <c r="G6" s="18"/>
      <c r="H6" s="18"/>
      <c r="I6" s="18"/>
      <c r="J6" s="11"/>
    </row>
    <row r="7" spans="1:10" x14ac:dyDescent="0.3">
      <c r="A7" s="10" t="s">
        <v>65</v>
      </c>
      <c r="B7" s="18">
        <v>9334.2611423901071</v>
      </c>
      <c r="C7" s="18"/>
      <c r="D7" s="18"/>
      <c r="E7" s="18"/>
      <c r="F7" s="18"/>
      <c r="G7" s="18"/>
      <c r="H7" s="18"/>
      <c r="I7" s="18"/>
      <c r="J7" s="11"/>
    </row>
    <row r="8" spans="1:10" ht="15" thickBot="1" x14ac:dyDescent="0.35">
      <c r="A8" s="6" t="s">
        <v>66</v>
      </c>
      <c r="B8" s="1">
        <v>49</v>
      </c>
      <c r="C8" s="18"/>
      <c r="D8" s="18"/>
      <c r="E8" s="18"/>
      <c r="F8" s="18"/>
      <c r="G8" s="18"/>
      <c r="H8" s="18"/>
      <c r="I8" s="18"/>
      <c r="J8" s="11"/>
    </row>
    <row r="9" spans="1:10" x14ac:dyDescent="0.3">
      <c r="A9" s="10"/>
      <c r="B9" s="18"/>
      <c r="C9" s="18"/>
      <c r="D9" s="18"/>
      <c r="E9" s="18"/>
      <c r="F9" s="18"/>
      <c r="G9" s="18"/>
      <c r="H9" s="18"/>
      <c r="I9" s="18"/>
      <c r="J9" s="11"/>
    </row>
    <row r="10" spans="1:10" ht="15" thickBot="1" x14ac:dyDescent="0.35">
      <c r="A10" s="10" t="s">
        <v>67</v>
      </c>
      <c r="B10" s="18"/>
      <c r="C10" s="18"/>
      <c r="D10" s="18"/>
      <c r="E10" s="18"/>
      <c r="F10" s="18"/>
      <c r="G10" s="18"/>
      <c r="H10" s="18"/>
      <c r="I10" s="18"/>
      <c r="J10" s="11"/>
    </row>
    <row r="11" spans="1:10" x14ac:dyDescent="0.3">
      <c r="A11" s="20"/>
      <c r="B11" s="2" t="s">
        <v>72</v>
      </c>
      <c r="C11" s="2" t="s">
        <v>73</v>
      </c>
      <c r="D11" s="2" t="s">
        <v>74</v>
      </c>
      <c r="E11" s="2" t="s">
        <v>75</v>
      </c>
      <c r="F11" s="2" t="s">
        <v>76</v>
      </c>
      <c r="G11" s="18"/>
      <c r="H11" s="18"/>
      <c r="I11" s="18"/>
      <c r="J11" s="11"/>
    </row>
    <row r="12" spans="1:10" x14ac:dyDescent="0.3">
      <c r="A12" s="10" t="s">
        <v>68</v>
      </c>
      <c r="B12" s="18">
        <v>3</v>
      </c>
      <c r="C12" s="18">
        <v>69112681278.340042</v>
      </c>
      <c r="D12" s="18">
        <v>23037560426.113346</v>
      </c>
      <c r="E12" s="18">
        <v>264.40921914981783</v>
      </c>
      <c r="F12" s="18">
        <v>1.3991271058485768E-28</v>
      </c>
      <c r="G12" s="18"/>
      <c r="H12" s="18"/>
      <c r="I12" s="18"/>
      <c r="J12" s="11"/>
    </row>
    <row r="13" spans="1:10" x14ac:dyDescent="0.3">
      <c r="A13" s="10" t="s">
        <v>69</v>
      </c>
      <c r="B13" s="18">
        <v>45</v>
      </c>
      <c r="C13" s="18">
        <v>3920779398.3450246</v>
      </c>
      <c r="D13" s="18">
        <v>87128431.074333876</v>
      </c>
      <c r="E13" s="18"/>
      <c r="F13" s="18"/>
      <c r="G13" s="18"/>
      <c r="H13" s="18"/>
      <c r="I13" s="18"/>
      <c r="J13" s="11"/>
    </row>
    <row r="14" spans="1:10" ht="15" thickBot="1" x14ac:dyDescent="0.35">
      <c r="A14" s="6" t="s">
        <v>70</v>
      </c>
      <c r="B14" s="1">
        <v>48</v>
      </c>
      <c r="C14" s="1">
        <v>73033460676.685074</v>
      </c>
      <c r="D14" s="1"/>
      <c r="E14" s="1"/>
      <c r="F14" s="1"/>
      <c r="G14" s="18"/>
      <c r="H14" s="18"/>
      <c r="I14" s="18"/>
      <c r="J14" s="11"/>
    </row>
    <row r="15" spans="1:10" ht="15" thickBot="1" x14ac:dyDescent="0.35">
      <c r="A15" s="10"/>
      <c r="B15" s="18"/>
      <c r="C15" s="18"/>
      <c r="D15" s="18"/>
      <c r="E15" s="18"/>
      <c r="F15" s="18"/>
      <c r="G15" s="18"/>
      <c r="H15" s="18"/>
      <c r="I15" s="18"/>
      <c r="J15" s="11"/>
    </row>
    <row r="16" spans="1:10" x14ac:dyDescent="0.3">
      <c r="A16" s="20"/>
      <c r="B16" s="2" t="s">
        <v>77</v>
      </c>
      <c r="C16" s="2" t="s">
        <v>65</v>
      </c>
      <c r="D16" s="2" t="s">
        <v>78</v>
      </c>
      <c r="E16" s="2" t="s">
        <v>79</v>
      </c>
      <c r="F16" s="2" t="s">
        <v>80</v>
      </c>
      <c r="G16" s="2" t="s">
        <v>81</v>
      </c>
      <c r="H16" s="2" t="s">
        <v>82</v>
      </c>
      <c r="I16" s="2" t="s">
        <v>83</v>
      </c>
      <c r="J16" s="11"/>
    </row>
    <row r="17" spans="1:10" x14ac:dyDescent="0.3">
      <c r="A17" s="10" t="s">
        <v>71</v>
      </c>
      <c r="B17" s="18">
        <v>50092.750140461969</v>
      </c>
      <c r="C17" s="18">
        <v>6718.4084055649746</v>
      </c>
      <c r="D17" s="18">
        <v>7.4560442171049433</v>
      </c>
      <c r="E17" s="18">
        <v>2.1579787420330956E-9</v>
      </c>
      <c r="F17" s="18">
        <v>36561.181002927995</v>
      </c>
      <c r="G17" s="18">
        <v>63624.319277995943</v>
      </c>
      <c r="H17" s="18">
        <v>36561.181002927995</v>
      </c>
      <c r="I17" s="18">
        <v>63624.319277995943</v>
      </c>
      <c r="J17" s="11"/>
    </row>
    <row r="18" spans="1:10" x14ac:dyDescent="0.3">
      <c r="A18" s="10">
        <v>165349.20000000001</v>
      </c>
      <c r="B18" s="18">
        <v>0.80580818930770692</v>
      </c>
      <c r="C18" s="18">
        <v>4.5753235750704759E-2</v>
      </c>
      <c r="D18" s="18">
        <v>17.61204811170748</v>
      </c>
      <c r="E18" s="18">
        <v>8.1861751511587991E-22</v>
      </c>
      <c r="F18" s="18">
        <v>0.71365644212994817</v>
      </c>
      <c r="G18" s="18">
        <v>0.89795993648546568</v>
      </c>
      <c r="H18" s="18">
        <v>0.71365644212994817</v>
      </c>
      <c r="I18" s="18">
        <v>0.89795993648546568</v>
      </c>
      <c r="J18" s="11"/>
    </row>
    <row r="19" spans="1:10" x14ac:dyDescent="0.3">
      <c r="A19" s="10">
        <v>136897.79999999999</v>
      </c>
      <c r="B19" s="18">
        <v>-2.6721677247500058E-2</v>
      </c>
      <c r="C19" s="18">
        <v>5.1689674685860484E-2</v>
      </c>
      <c r="D19" s="18">
        <v>-0.51696354078253992</v>
      </c>
      <c r="E19" s="18">
        <v>0.60771330644675325</v>
      </c>
      <c r="F19" s="18">
        <v>-0.13083002620244011</v>
      </c>
      <c r="G19" s="18">
        <v>7.738667170744E-2</v>
      </c>
      <c r="H19" s="18">
        <v>-0.13083002620244011</v>
      </c>
      <c r="I19" s="18">
        <v>7.738667170744E-2</v>
      </c>
      <c r="J19" s="11"/>
    </row>
    <row r="20" spans="1:10" ht="15" thickBot="1" x14ac:dyDescent="0.35">
      <c r="A20" s="6">
        <v>471784.1</v>
      </c>
      <c r="B20" s="1">
        <v>2.7308924770134742E-2</v>
      </c>
      <c r="C20" s="1">
        <v>1.6854071499558948E-2</v>
      </c>
      <c r="D20" s="1">
        <v>1.6203161812176592</v>
      </c>
      <c r="E20" s="1">
        <v>0.11215196043661056</v>
      </c>
      <c r="F20" s="1">
        <v>-6.63691775356701E-3</v>
      </c>
      <c r="G20" s="1">
        <v>6.1254767293836498E-2</v>
      </c>
      <c r="H20" s="1">
        <v>-6.63691775356701E-3</v>
      </c>
      <c r="I20" s="1">
        <v>6.1254767293836498E-2</v>
      </c>
      <c r="J20" s="11"/>
    </row>
    <row r="21" spans="1:10" ht="15" thickBot="1" x14ac:dyDescent="0.35">
      <c r="A21" s="6"/>
      <c r="B21" s="1"/>
      <c r="C21" s="1"/>
      <c r="D21" s="1"/>
      <c r="E21" s="1"/>
      <c r="F21" s="1"/>
      <c r="G21" s="1"/>
      <c r="H21" s="1"/>
      <c r="I21" s="1"/>
      <c r="J2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75CBC-77D8-4C6B-AA0F-B6F391908833}">
  <dimension ref="B1:I14"/>
  <sheetViews>
    <sheetView tabSelected="1" zoomScale="135" workbookViewId="0">
      <selection activeCell="D9" sqref="D9"/>
    </sheetView>
  </sheetViews>
  <sheetFormatPr defaultRowHeight="14.4" x14ac:dyDescent="0.3"/>
  <cols>
    <col min="2" max="2" width="15.88671875" customWidth="1"/>
    <col min="3" max="3" width="5.33203125" customWidth="1"/>
    <col min="4" max="4" width="12.21875" customWidth="1"/>
    <col min="5" max="5" width="10.88671875" bestFit="1" customWidth="1"/>
    <col min="6" max="6" width="12.88671875" bestFit="1" customWidth="1"/>
    <col min="7" max="7" width="15.109375" bestFit="1" customWidth="1"/>
    <col min="8" max="8" width="17" customWidth="1"/>
    <col min="10" max="10" width="14.88671875" customWidth="1"/>
  </cols>
  <sheetData>
    <row r="1" spans="2:9" ht="15" thickBot="1" x14ac:dyDescent="0.35">
      <c r="B1" s="4"/>
      <c r="C1" s="17"/>
      <c r="D1" s="17"/>
      <c r="E1" s="17"/>
      <c r="F1" s="17"/>
      <c r="G1" s="17"/>
      <c r="H1" s="17"/>
      <c r="I1" s="5"/>
    </row>
    <row r="2" spans="2:9" x14ac:dyDescent="0.3">
      <c r="B2" s="16" t="s">
        <v>84</v>
      </c>
      <c r="C2" s="18"/>
      <c r="D2" s="18"/>
      <c r="E2" s="18"/>
      <c r="F2" s="18"/>
      <c r="G2" s="18"/>
      <c r="H2" s="18"/>
      <c r="I2" s="11"/>
    </row>
    <row r="3" spans="2:9" ht="15" thickBot="1" x14ac:dyDescent="0.35">
      <c r="B3" s="15" t="s">
        <v>85</v>
      </c>
      <c r="C3" s="18"/>
      <c r="D3" s="18"/>
      <c r="E3" s="18"/>
      <c r="F3" s="18"/>
      <c r="G3" s="18"/>
      <c r="H3" s="18"/>
      <c r="I3" s="11"/>
    </row>
    <row r="4" spans="2:9" ht="15" thickBot="1" x14ac:dyDescent="0.35">
      <c r="B4" s="10"/>
      <c r="C4" s="18"/>
      <c r="D4" s="18"/>
      <c r="E4" s="18"/>
      <c r="F4" s="18"/>
      <c r="G4" s="18"/>
      <c r="H4" s="18"/>
      <c r="I4" s="11"/>
    </row>
    <row r="5" spans="2:9" x14ac:dyDescent="0.3">
      <c r="B5" s="13" t="s">
        <v>77</v>
      </c>
      <c r="C5" s="18"/>
      <c r="D5" s="4"/>
      <c r="E5" s="8" t="s">
        <v>86</v>
      </c>
      <c r="F5" s="8" t="s">
        <v>53</v>
      </c>
      <c r="G5" s="8" t="s">
        <v>87</v>
      </c>
      <c r="H5" s="9" t="s">
        <v>56</v>
      </c>
      <c r="I5" s="11"/>
    </row>
    <row r="6" spans="2:9" x14ac:dyDescent="0.3">
      <c r="B6" s="14">
        <v>50092.750140461969</v>
      </c>
      <c r="C6" s="18"/>
      <c r="D6" s="10"/>
      <c r="E6" s="18">
        <v>21892.92</v>
      </c>
      <c r="F6" s="18">
        <v>81910.77</v>
      </c>
      <c r="G6" s="18">
        <v>164270.70000000001</v>
      </c>
      <c r="H6" s="11">
        <f>D12</f>
        <v>70031.507393523614</v>
      </c>
      <c r="I6" s="11"/>
    </row>
    <row r="7" spans="2:9" x14ac:dyDescent="0.3">
      <c r="B7" s="14">
        <v>0.80580818930770692</v>
      </c>
      <c r="C7" s="18"/>
      <c r="D7" s="10"/>
      <c r="E7" s="18">
        <v>23940.93</v>
      </c>
      <c r="F7" s="18">
        <v>96489.63</v>
      </c>
      <c r="G7" s="18">
        <v>137001.1</v>
      </c>
      <c r="H7" s="11">
        <f>D13</f>
        <v>70547.535576839538</v>
      </c>
      <c r="I7" s="11"/>
    </row>
    <row r="8" spans="2:9" x14ac:dyDescent="0.3">
      <c r="B8" s="14">
        <v>-2.6721677247500058E-2</v>
      </c>
      <c r="C8" s="18"/>
      <c r="D8" s="10"/>
      <c r="E8" s="18"/>
      <c r="F8" s="18"/>
      <c r="G8" s="18"/>
      <c r="H8" s="11"/>
      <c r="I8" s="11"/>
    </row>
    <row r="9" spans="2:9" ht="30" customHeight="1" thickBot="1" x14ac:dyDescent="0.35">
      <c r="B9" s="15">
        <v>2.7308924770134742E-2</v>
      </c>
      <c r="C9" s="18"/>
      <c r="D9" s="12" t="s">
        <v>90</v>
      </c>
      <c r="E9" s="18">
        <v>27892.92</v>
      </c>
      <c r="F9" s="18">
        <v>84710.77</v>
      </c>
      <c r="G9" s="18">
        <v>164470.71</v>
      </c>
      <c r="H9" s="11">
        <v>77798.83</v>
      </c>
      <c r="I9" s="11"/>
    </row>
    <row r="10" spans="2:9" ht="15" thickBot="1" x14ac:dyDescent="0.35">
      <c r="B10" s="10"/>
      <c r="C10" s="18"/>
      <c r="D10" s="6"/>
      <c r="E10" s="1">
        <v>23640.93</v>
      </c>
      <c r="F10" s="1">
        <v>96189.63</v>
      </c>
      <c r="G10" s="1">
        <v>148001.10999999999</v>
      </c>
      <c r="H10" s="7">
        <v>71498.490000000005</v>
      </c>
      <c r="I10" s="11"/>
    </row>
    <row r="11" spans="2:9" ht="15" thickBot="1" x14ac:dyDescent="0.35">
      <c r="B11" s="10"/>
      <c r="C11" s="18"/>
      <c r="D11" s="18"/>
      <c r="E11" s="18"/>
      <c r="F11" s="18"/>
      <c r="G11" s="18"/>
      <c r="H11" s="18"/>
      <c r="I11" s="11"/>
    </row>
    <row r="12" spans="2:9" x14ac:dyDescent="0.3">
      <c r="B12" s="10"/>
      <c r="C12" s="4" t="s">
        <v>88</v>
      </c>
      <c r="D12" s="5">
        <f>$B$6+($E6*$B$7)+($F6*$B$8)+($B$9*$G6)</f>
        <v>70031.507393523614</v>
      </c>
      <c r="E12" s="18"/>
      <c r="F12" s="18"/>
      <c r="G12" s="18"/>
      <c r="H12" s="18"/>
      <c r="I12" s="11"/>
    </row>
    <row r="13" spans="2:9" ht="15" thickBot="1" x14ac:dyDescent="0.35">
      <c r="B13" s="10"/>
      <c r="C13" s="6" t="s">
        <v>89</v>
      </c>
      <c r="D13" s="7">
        <f>$B$6+($E7*$B$7)+($F7*$B$8)+($B$9*$G7)</f>
        <v>70547.535576839538</v>
      </c>
      <c r="E13" s="18"/>
      <c r="F13" s="18"/>
      <c r="G13" s="18"/>
      <c r="H13" s="18"/>
      <c r="I13" s="11"/>
    </row>
    <row r="14" spans="2:9" ht="15" thickBot="1" x14ac:dyDescent="0.35">
      <c r="B14" s="6"/>
      <c r="C14" s="1"/>
      <c r="D14" s="1"/>
      <c r="E14" s="1"/>
      <c r="F14" s="1"/>
      <c r="G14" s="1"/>
      <c r="H14" s="1"/>
      <c r="I14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7D5D2-45F3-49D4-BAF5-2F7601446394}">
  <dimension ref="A1:A52"/>
  <sheetViews>
    <sheetView workbookViewId="0">
      <selection sqref="A1:A52"/>
    </sheetView>
  </sheetViews>
  <sheetFormatPr defaultRowHeight="14.4" x14ac:dyDescent="0.3"/>
  <cols>
    <col min="1" max="1" width="10.44140625" customWidth="1"/>
  </cols>
  <sheetData>
    <row r="1" spans="1:1" x14ac:dyDescent="0.3">
      <c r="A1" t="s">
        <v>51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9647FE-A246-44D5-B227-49C068F4FD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</vt:lpstr>
      <vt:lpstr>Summary Output</vt:lpstr>
      <vt:lpstr>Calculations</vt:lpstr>
      <vt:lpstr>PRDA - 01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RANGANATHA R</dc:creator>
  <cp:lastModifiedBy>RANGANATHA R</cp:lastModifiedBy>
  <dcterms:created xsi:type="dcterms:W3CDTF">2025-11-28T06:53:38Z</dcterms:created>
  <dcterms:modified xsi:type="dcterms:W3CDTF">2025-11-30T09:39:00Z</dcterms:modified>
</cp:coreProperties>
</file>